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-Transaction Cost" sheetId="1" state="visible" r:id="rId3"/>
    <sheet name="Monthly Infrastructure" sheetId="2" state="visible" r:id="rId4"/>
    <sheet name="Pricing Ti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<sst xmlns="http://schemas.openxmlformats.org/spreadsheetml/2006/main" count="70" uniqueCount="60">
  <si>
    <t xml:space="preserve">AI-Powered Legal Due Diligence System — Cost Breakdown</t>
  </si>
  <si>
    <t xml:space="preserve">Problem 07: Law Firm Document Review  |  Pair B  |  AI/ML Internship Program</t>
  </si>
  <si>
    <t xml:space="preserve">5.1  Per-Transaction API Cost  (30–50 page document bundle)</t>
  </si>
  <si>
    <t xml:space="preserve">Component</t>
  </si>
  <si>
    <t xml:space="preserve">Model / Service</t>
  </si>
  <si>
    <t xml:space="preserve">Input Tokens</t>
  </si>
  <si>
    <t xml:space="preserve">Output Tokens</t>
  </si>
  <si>
    <t xml:space="preserve">Est. Cost (USD)</t>
  </si>
  <si>
    <t xml:space="preserve">PKR Rate</t>
  </si>
  <si>
    <t xml:space="preserve">Est. Cost (PKR)</t>
  </si>
  <si>
    <t xml:space="preserve">Document Embedding (30 pages)</t>
  </si>
  <si>
    <t xml:space="preserve">OpenAI text-embedding-3-small</t>
  </si>
  <si>
    <t xml:space="preserve">—</t>
  </si>
  <si>
    <t xml:space="preserve">Clause Extraction × 15 questions</t>
  </si>
  <si>
    <t xml:space="preserve">Claude Haiku 4.5</t>
  </si>
  <si>
    <t xml:space="preserve">Memo Synthesis</t>
  </si>
  <si>
    <t xml:space="preserve">Claude Sonnet 4.6</t>
  </si>
  <si>
    <t xml:space="preserve">Red Flag Summarisation</t>
  </si>
  <si>
    <t xml:space="preserve">Vector Queries × 15 (Top-K)</t>
  </si>
  <si>
    <t xml:space="preserve">Pinecone Serverless (free tier)</t>
  </si>
  <si>
    <t xml:space="preserve">TOTAL PER TRANSACTION</t>
  </si>
  <si>
    <t xml:space="preserve">Mixed</t>
  </si>
  <si>
    <t xml:space="preserve">~125,000</t>
  </si>
  <si>
    <t xml:space="preserve">~7,500</t>
  </si>
  <si>
    <t xml:space="preserve">Note: At PKR 280/USD, total per transaction ≈ PKR 100 — a fraction of one junior associate hour. Pricing based on publicly available API rates as of June 2025.</t>
  </si>
  <si>
    <t xml:space="preserve">5.2  Monthly Infrastructure Cost  (25 transactions/month)</t>
  </si>
  <si>
    <t xml:space="preserve">Service</t>
  </si>
  <si>
    <t xml:space="preserve">Tier / Plan</t>
  </si>
  <si>
    <t xml:space="preserve">USD/Month (Low)</t>
  </si>
  <si>
    <t xml:space="preserve">USD/Month (High)</t>
  </si>
  <si>
    <t xml:space="preserve">PKR/Month (approx.)</t>
  </si>
  <si>
    <t xml:space="preserve">Anthropic Claude API</t>
  </si>
  <si>
    <t xml:space="preserve">Pay-as-you-go</t>
  </si>
  <si>
    <t xml:space="preserve">PKR 2,800–14,000</t>
  </si>
  <si>
    <t xml:space="preserve">OpenAI Embedding API</t>
  </si>
  <si>
    <t xml:space="preserve">PKR 280–1,400</t>
  </si>
  <si>
    <t xml:space="preserve">Pinecone Serverless</t>
  </si>
  <si>
    <t xml:space="preserve">Free Tier (≤100K vectors)</t>
  </si>
  <si>
    <t xml:space="preserve">PKR 0</t>
  </si>
  <si>
    <t xml:space="preserve">Cloud Hosting (Render / Railway)</t>
  </si>
  <si>
    <t xml:space="preserve">Starter</t>
  </si>
  <si>
    <t xml:space="preserve">PKR 1,960</t>
  </si>
  <si>
    <t xml:space="preserve">Domain + SSL</t>
  </si>
  <si>
    <t xml:space="preserve">Annual (amortised monthly)</t>
  </si>
  <si>
    <t xml:space="preserve">PKR 280</t>
  </si>
  <si>
    <t xml:space="preserve">TOTAL (25 transactions/month)</t>
  </si>
  <si>
    <t xml:space="preserve">~PKR 5,320–17,640</t>
  </si>
  <si>
    <t xml:space="preserve">5.3  Proposed Pricing to Law Firms</t>
  </si>
  <si>
    <t xml:space="preserve">Tier</t>
  </si>
  <si>
    <t xml:space="preserve">Description</t>
  </si>
  <si>
    <t xml:space="preserve">Monthly Price (PKR)</t>
  </si>
  <si>
    <t xml:space="preserve">Monthly Price (USD @ 280)</t>
  </si>
  <si>
    <t xml:space="preserve">Up to 10 transactions/month, property transaction type only</t>
  </si>
  <si>
    <t xml:space="preserve">Professional</t>
  </si>
  <si>
    <t xml:space="preserve">Up to 30 transactions/month, all 3 transaction types</t>
  </si>
  <si>
    <t xml:space="preserve">Enterprise</t>
  </si>
  <si>
    <t xml:space="preserve">Unlimited transactions + custom checklist + firm letterhead</t>
  </si>
  <si>
    <t xml:space="preserve">Pay-Per-Use</t>
  </si>
  <si>
    <t xml:space="preserve">Ad hoc, no subscription required — price is per transaction (not monthly)</t>
  </si>
  <si>
    <t xml:space="preserve">Note: USD equivalent calculated at PKR 280/USD (June 2025 rate). Pay-Per-Use price is per transaction, not per month.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</si>
</sst>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.0000"/>
    <numFmt numFmtId="167" formatCode="#,##0.00"/>
    <numFmt numFmtId="168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3D3D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1A1A1A"/>
      </patternFill>
    </fill>
    <fill>
      <patternFill patternType="solid">
        <fgColor rgb="FF1A1A1A"/>
        <bgColor rgb="FF003300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rgb="FFE8E8E8"/>
        <bgColor rgb="FFFAFAFA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medium"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4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5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8" fillId="4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8" fillId="5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9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8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AFAFA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9.75" hidden="false" customHeight="true" outlineLevel="0" collapsed="false"/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36" hidden="false" customHeight="tru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21.75" hidden="false" customHeight="true" outlineLevel="0" collapsed="false">
      <c r="A6" s="6" t="s">
        <v>10</v>
      </c>
      <c r="B6" s="6" t="s">
        <v>11</v>
      </c>
      <c r="C6" s="7" t="n">
        <v>15000</v>
      </c>
      <c r="D6" s="8" t="s">
        <v>12</v>
      </c>
      <c r="E6" s="9" t="n">
        <v>0.0003</v>
      </c>
      <c r="F6" s="7" t="n">
        <v>280</v>
      </c>
      <c r="G6" s="10" t="n">
        <f aca="false">E6*F6</f>
        <v>0.084</v>
      </c>
    </row>
    <row r="7" customFormat="false" ht="21.75" hidden="false" customHeight="true" outlineLevel="0" collapsed="false">
      <c r="A7" s="11" t="s">
        <v>13</v>
      </c>
      <c r="B7" s="11" t="s">
        <v>14</v>
      </c>
      <c r="C7" s="12" t="n">
        <v>45000</v>
      </c>
      <c r="D7" s="12" t="n">
        <v>3000</v>
      </c>
      <c r="E7" s="13" t="n">
        <v>0.027</v>
      </c>
      <c r="F7" s="12" t="n">
        <v>280</v>
      </c>
      <c r="G7" s="14" t="n">
        <f aca="false">E7*F7</f>
        <v>7.56</v>
      </c>
    </row>
    <row r="8" customFormat="false" ht="21.75" hidden="false" customHeight="true" outlineLevel="0" collapsed="false">
      <c r="A8" s="6" t="s">
        <v>15</v>
      </c>
      <c r="B8" s="6" t="s">
        <v>16</v>
      </c>
      <c r="C8" s="7" t="n">
        <v>60000</v>
      </c>
      <c r="D8" s="7" t="n">
        <v>4000</v>
      </c>
      <c r="E8" s="9" t="n">
        <v>0.324</v>
      </c>
      <c r="F8" s="7" t="n">
        <v>280</v>
      </c>
      <c r="G8" s="10" t="n">
        <f aca="false">E8*F8</f>
        <v>90.72</v>
      </c>
    </row>
    <row r="9" customFormat="false" ht="21.75" hidden="false" customHeight="true" outlineLevel="0" collapsed="false">
      <c r="A9" s="11" t="s">
        <v>17</v>
      </c>
      <c r="B9" s="11" t="s">
        <v>14</v>
      </c>
      <c r="C9" s="12" t="n">
        <v>5000</v>
      </c>
      <c r="D9" s="12" t="n">
        <v>500</v>
      </c>
      <c r="E9" s="13" t="n">
        <v>0.0035</v>
      </c>
      <c r="F9" s="12" t="n">
        <v>280</v>
      </c>
      <c r="G9" s="14" t="n">
        <f aca="false">E9*F9</f>
        <v>0.98</v>
      </c>
    </row>
    <row r="10" customFormat="false" ht="21.75" hidden="false" customHeight="true" outlineLevel="0" collapsed="false">
      <c r="A10" s="6" t="s">
        <v>18</v>
      </c>
      <c r="B10" s="6" t="s">
        <v>19</v>
      </c>
      <c r="C10" s="8" t="s">
        <v>12</v>
      </c>
      <c r="D10" s="8" t="s">
        <v>12</v>
      </c>
      <c r="E10" s="9" t="n">
        <v>0</v>
      </c>
      <c r="F10" s="7" t="n">
        <v>280</v>
      </c>
      <c r="G10" s="10" t="n">
        <f aca="false">E10*F10</f>
        <v>0</v>
      </c>
    </row>
    <row r="11" customFormat="false" ht="24" hidden="false" customHeight="true" outlineLevel="0" collapsed="false">
      <c r="A11" s="15" t="s">
        <v>20</v>
      </c>
      <c r="B11" s="16" t="s">
        <v>21</v>
      </c>
      <c r="C11" s="17" t="s">
        <v>22</v>
      </c>
      <c r="D11" s="17" t="s">
        <v>23</v>
      </c>
      <c r="E11" s="18" t="n">
        <f aca="false">SUM(E6:E10)</f>
        <v>0.3548</v>
      </c>
      <c r="F11" s="17" t="n">
        <v>280</v>
      </c>
      <c r="G11" s="19" t="n">
        <f aca="false">E11*F11</f>
        <v>99.344</v>
      </c>
    </row>
    <row r="13" customFormat="false" ht="27.75" hidden="false" customHeight="true" outlineLevel="0" collapsed="false">
      <c r="A13" s="20" t="s">
        <v>24</v>
      </c>
      <c r="B13" s="20"/>
      <c r="C13" s="20"/>
      <c r="D13" s="20"/>
      <c r="E13" s="20"/>
      <c r="F13" s="20"/>
      <c r="G13" s="20"/>
    </row>
  </sheetData>
  <mergeCells count="4">
    <mergeCell ref="A1:G1"/>
    <mergeCell ref="A2:G2"/>
    <mergeCell ref="A4:G4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4" min="3" style="0" width="18"/>
    <col collapsed="false" customWidth="true" hidden="false" outlineLevel="0" max="5" min="5" style="0" width="2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9.75" hidden="false" customHeight="true" outlineLevel="0" collapsed="false"/>
    <row r="4" customFormat="false" ht="24" hidden="false" customHeight="true" outlineLevel="0" collapsed="false">
      <c r="A4" s="3" t="s">
        <v>25</v>
      </c>
      <c r="B4" s="3"/>
      <c r="C4" s="3"/>
      <c r="D4" s="3"/>
      <c r="E4" s="3"/>
    </row>
    <row r="5" customFormat="false" ht="36" hidden="false" customHeight="true" outlineLevel="0" collapsed="false">
      <c r="A5" s="4" t="s">
        <v>26</v>
      </c>
      <c r="B5" s="4" t="s">
        <v>27</v>
      </c>
      <c r="C5" s="5" t="s">
        <v>28</v>
      </c>
      <c r="D5" s="5" t="s">
        <v>29</v>
      </c>
      <c r="E5" s="5" t="s">
        <v>30</v>
      </c>
    </row>
    <row r="6" customFormat="false" ht="21.75" hidden="false" customHeight="true" outlineLevel="0" collapsed="false">
      <c r="A6" s="6" t="s">
        <v>31</v>
      </c>
      <c r="B6" s="6" t="s">
        <v>32</v>
      </c>
      <c r="C6" s="21" t="n">
        <v>10</v>
      </c>
      <c r="D6" s="21" t="n">
        <v>50</v>
      </c>
      <c r="E6" s="8" t="s">
        <v>33</v>
      </c>
    </row>
    <row r="7" customFormat="false" ht="21.75" hidden="false" customHeight="true" outlineLevel="0" collapsed="false">
      <c r="A7" s="11" t="s">
        <v>34</v>
      </c>
      <c r="B7" s="11" t="s">
        <v>32</v>
      </c>
      <c r="C7" s="22" t="n">
        <v>1</v>
      </c>
      <c r="D7" s="22" t="n">
        <v>5</v>
      </c>
      <c r="E7" s="23" t="s">
        <v>35</v>
      </c>
    </row>
    <row r="8" customFormat="false" ht="21.75" hidden="false" customHeight="true" outlineLevel="0" collapsed="false">
      <c r="A8" s="6" t="s">
        <v>36</v>
      </c>
      <c r="B8" s="6" t="s">
        <v>37</v>
      </c>
      <c r="C8" s="21" t="n">
        <v>0</v>
      </c>
      <c r="D8" s="21" t="n">
        <v>0</v>
      </c>
      <c r="E8" s="8" t="s">
        <v>38</v>
      </c>
    </row>
    <row r="9" customFormat="false" ht="21.75" hidden="false" customHeight="true" outlineLevel="0" collapsed="false">
      <c r="A9" s="11" t="s">
        <v>39</v>
      </c>
      <c r="B9" s="11" t="s">
        <v>40</v>
      </c>
      <c r="C9" s="22" t="n">
        <v>7</v>
      </c>
      <c r="D9" s="22" t="n">
        <v>7</v>
      </c>
      <c r="E9" s="23" t="s">
        <v>41</v>
      </c>
    </row>
    <row r="10" customFormat="false" ht="21.75" hidden="false" customHeight="true" outlineLevel="0" collapsed="false">
      <c r="A10" s="6" t="s">
        <v>42</v>
      </c>
      <c r="B10" s="6" t="s">
        <v>43</v>
      </c>
      <c r="C10" s="21" t="n">
        <v>1</v>
      </c>
      <c r="D10" s="21" t="n">
        <v>1</v>
      </c>
      <c r="E10" s="8" t="s">
        <v>44</v>
      </c>
    </row>
    <row r="11" customFormat="false" ht="24" hidden="false" customHeight="true" outlineLevel="0" collapsed="false">
      <c r="A11" s="15" t="s">
        <v>45</v>
      </c>
      <c r="B11" s="16" t="s">
        <v>12</v>
      </c>
      <c r="C11" s="24" t="n">
        <f aca="false">SUM(C6:C10)</f>
        <v>19</v>
      </c>
      <c r="D11" s="24" t="n">
        <f aca="false">SUM(D6:D10)</f>
        <v>63</v>
      </c>
      <c r="E11" s="17" t="s">
        <v>46</v>
      </c>
    </row>
  </sheetData>
  <mergeCells count="3">
    <mergeCell ref="A1:E1"/>
    <mergeCell ref="A2:E2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4" min="3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9.75" hidden="false" customHeight="true" outlineLevel="0" collapsed="false"/>
    <row r="4" customFormat="false" ht="24" hidden="false" customHeight="true" outlineLevel="0" collapsed="false">
      <c r="A4" s="3" t="s">
        <v>47</v>
      </c>
      <c r="B4" s="3"/>
      <c r="C4" s="3"/>
      <c r="D4" s="3"/>
    </row>
    <row r="5" customFormat="false" ht="36" hidden="false" customHeight="true" outlineLevel="0" collapsed="false">
      <c r="A5" s="4" t="s">
        <v>48</v>
      </c>
      <c r="B5" s="4" t="s">
        <v>49</v>
      </c>
      <c r="C5" s="5" t="s">
        <v>50</v>
      </c>
      <c r="D5" s="5" t="s">
        <v>51</v>
      </c>
    </row>
    <row r="6" customFormat="false" ht="25.5" hidden="false" customHeight="true" outlineLevel="0" collapsed="false">
      <c r="A6" s="25" t="s">
        <v>40</v>
      </c>
      <c r="B6" s="6" t="s">
        <v>52</v>
      </c>
      <c r="C6" s="26" t="n">
        <v>15000</v>
      </c>
      <c r="D6" s="27" t="n">
        <f aca="false">C6/280</f>
        <v>53.5714285714286</v>
      </c>
    </row>
    <row r="7" customFormat="false" ht="25.5" hidden="false" customHeight="true" outlineLevel="0" collapsed="false">
      <c r="A7" s="28" t="s">
        <v>53</v>
      </c>
      <c r="B7" s="11" t="s">
        <v>54</v>
      </c>
      <c r="C7" s="29" t="n">
        <v>35000</v>
      </c>
      <c r="D7" s="30" t="n">
        <f aca="false">C7/280</f>
        <v>125</v>
      </c>
    </row>
    <row r="8" customFormat="false" ht="25.5" hidden="false" customHeight="true" outlineLevel="0" collapsed="false">
      <c r="A8" s="25" t="s">
        <v>55</v>
      </c>
      <c r="B8" s="6" t="s">
        <v>56</v>
      </c>
      <c r="C8" s="26" t="n">
        <v>75000</v>
      </c>
      <c r="D8" s="27" t="n">
        <f aca="false">C8/280</f>
        <v>267.857142857143</v>
      </c>
    </row>
    <row r="9" customFormat="false" ht="25.5" hidden="false" customHeight="true" outlineLevel="0" collapsed="false">
      <c r="A9" s="28" t="s">
        <v>57</v>
      </c>
      <c r="B9" s="11" t="s">
        <v>58</v>
      </c>
      <c r="C9" s="29" t="n">
        <v>2500</v>
      </c>
      <c r="D9" s="30" t="n">
        <f aca="false">C9/280</f>
        <v>8.92857142857143</v>
      </c>
    </row>
    <row r="11" customFormat="false" ht="27.75" hidden="false" customHeight="true" outlineLevel="0" collapsed="false">
      <c r="A11" s="20" t="s">
        <v>59</v>
      </c>
      <c r="B11" s="20"/>
      <c r="C11" s="20"/>
      <c r="D11" s="20"/>
    </row>
  </sheetData>
  <mergeCells count="4">
    <mergeCell ref="A1:D1"/>
    <mergeCell ref="A2:D2"/>
    <mergeCell ref="A4:D4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2026-06-29T12:30:38Z</dcterms:created>
  <dc:creator>openpyxl</dc:creator>
  <dc:description/>
  <dc:language>en-US</dc:language>
  <cp:lastModifiedBy/>
  <dcterms:modified xsi:type="dcterms:W3CDTF">2026-06-29T12:30:38Z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